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m\Downloads\"/>
    </mc:Choice>
  </mc:AlternateContent>
  <xr:revisionPtr revIDLastSave="0" documentId="8_{E7916442-7B2A-44EB-ADC6-14852579B9F9}" xr6:coauthVersionLast="47" xr6:coauthVersionMax="47" xr10:uidLastSave="{00000000-0000-0000-0000-000000000000}"/>
  <bookViews>
    <workbookView xWindow="-108" yWindow="-108" windowWidth="23256" windowHeight="13896" activeTab="1" xr2:uid="{A9622C26-27AB-4DE3-83D7-B6AED4A0F47D}"/>
  </bookViews>
  <sheets>
    <sheet name="Sheet2" sheetId="2" r:id="rId1"/>
    <sheet name="Sheet1" sheetId="1" r:id="rId2"/>
  </sheets>
  <definedNames>
    <definedName name="_xlnm._FilterDatabase" localSheetId="1" hidden="1">Sheet1!$A$2:$M$27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</calcChain>
</file>

<file path=xl/sharedStrings.xml><?xml version="1.0" encoding="utf-8"?>
<sst xmlns="http://schemas.openxmlformats.org/spreadsheetml/2006/main" count="117" uniqueCount="57">
  <si>
    <t>Student ID</t>
  </si>
  <si>
    <t>Name</t>
  </si>
  <si>
    <t>Kan</t>
  </si>
  <si>
    <t>Eng</t>
  </si>
  <si>
    <t>Math</t>
  </si>
  <si>
    <t>Sci</t>
  </si>
  <si>
    <t>Soc</t>
  </si>
  <si>
    <t>Hin</t>
  </si>
  <si>
    <t>Total</t>
  </si>
  <si>
    <t>Percentage</t>
  </si>
  <si>
    <t>Grade</t>
  </si>
  <si>
    <t>Result</t>
  </si>
  <si>
    <t>Aarav</t>
  </si>
  <si>
    <t>B+</t>
  </si>
  <si>
    <t>PASS</t>
  </si>
  <si>
    <t>Harish</t>
  </si>
  <si>
    <t>C</t>
  </si>
  <si>
    <t>Rahul</t>
  </si>
  <si>
    <t>FAIL</t>
  </si>
  <si>
    <t>Priya</t>
  </si>
  <si>
    <t>A</t>
  </si>
  <si>
    <t>Kiran</t>
  </si>
  <si>
    <t>D</t>
  </si>
  <si>
    <t>Anjali</t>
  </si>
  <si>
    <t>Rohan</t>
  </si>
  <si>
    <t>Sneha</t>
  </si>
  <si>
    <t>Vivek</t>
  </si>
  <si>
    <t>Aishwarya</t>
  </si>
  <si>
    <t>Nikhil</t>
  </si>
  <si>
    <t>B</t>
  </si>
  <si>
    <t>Pooja</t>
  </si>
  <si>
    <t>Aditya</t>
  </si>
  <si>
    <t>Kavya</t>
  </si>
  <si>
    <t>Manish</t>
  </si>
  <si>
    <t>Deepika</t>
  </si>
  <si>
    <t>Akash</t>
  </si>
  <si>
    <t>Divya</t>
  </si>
  <si>
    <t>Sandeep</t>
  </si>
  <si>
    <t>Neha</t>
  </si>
  <si>
    <t>Varun</t>
  </si>
  <si>
    <t>Shreya</t>
  </si>
  <si>
    <t>Abhishek</t>
  </si>
  <si>
    <t>Nandini</t>
  </si>
  <si>
    <t>Arjun</t>
  </si>
  <si>
    <t>Rank</t>
  </si>
  <si>
    <t>STUDENT RESULT MANAGEMENT SYSTEM</t>
  </si>
  <si>
    <t>Row Labels</t>
  </si>
  <si>
    <t>Grand Total</t>
  </si>
  <si>
    <t>Count of Student ID</t>
  </si>
  <si>
    <t>Values</t>
  </si>
  <si>
    <t>Average of Kan</t>
  </si>
  <si>
    <t>Average of Eng</t>
  </si>
  <si>
    <t>Average of Math</t>
  </si>
  <si>
    <t>Average of Sci</t>
  </si>
  <si>
    <t>Average of Soc</t>
  </si>
  <si>
    <t>Average of Hin</t>
  </si>
  <si>
    <t>Count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</si>
</sst>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3" tint="0.499984740745262"/>
      <name val="Times New Roman"/>
      <family val="1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C0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Result Management System.1.xlsx]Sheet2!PivotTable4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A7-4FEF-B405-5D593C233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A7-4FEF-B405-5D593C23356D}"/>
              </c:ext>
            </c:extLst>
          </c:dPt>
          <c:cat>
            <c:strRef>
              <c:f>Sheet2!$D$4:$D$6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Sheet2!$E$4:$E$6</c:f>
              <c:numCache>
                <c:formatCode>General</c:formatCode>
                <c:ptCount val="2"/>
                <c:pt idx="0">
                  <c:v>6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B-44BD-81FD-C3F48CAA5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Result Management System.1.xlsx]Sheet2!PivotTable6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 column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Sheet2!$D$13:$D$18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B+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Sheet2!$E$13:$E$18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3-442F-918E-7ECE7B230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985103"/>
        <c:axId val="1130109071"/>
      </c:barChart>
      <c:catAx>
        <c:axId val="12949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09071"/>
        <c:crosses val="autoZero"/>
        <c:auto val="1"/>
        <c:lblAlgn val="ctr"/>
        <c:lblOffset val="100"/>
        <c:noMultiLvlLbl val="0"/>
      </c:catAx>
      <c:valAx>
        <c:axId val="113010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9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Result Management System.1.xlsx]Sheet2!PivotTable5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</a:t>
            </a:r>
            <a:r>
              <a:rPr lang="en-US" baseline="0"/>
              <a:t> average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Sheet2!$A$13:$A$18</c:f>
              <c:strCache>
                <c:ptCount val="6"/>
                <c:pt idx="0">
                  <c:v>Average of Kan</c:v>
                </c:pt>
                <c:pt idx="1">
                  <c:v>Average of Eng</c:v>
                </c:pt>
                <c:pt idx="2">
                  <c:v>Average of Math</c:v>
                </c:pt>
                <c:pt idx="3">
                  <c:v>Average of Sci</c:v>
                </c:pt>
                <c:pt idx="4">
                  <c:v>Average of Soc</c:v>
                </c:pt>
                <c:pt idx="5">
                  <c:v>Average of Hin</c:v>
                </c:pt>
              </c:strCache>
            </c:strRef>
          </c:cat>
          <c:val>
            <c:numRef>
              <c:f>Sheet2!$B$13:$B$18</c:f>
              <c:numCache>
                <c:formatCode>General</c:formatCode>
                <c:ptCount val="6"/>
                <c:pt idx="0">
                  <c:v>58.72</c:v>
                </c:pt>
                <c:pt idx="1">
                  <c:v>59.68</c:v>
                </c:pt>
                <c:pt idx="2">
                  <c:v>60.2</c:v>
                </c:pt>
                <c:pt idx="3">
                  <c:v>60.56</c:v>
                </c:pt>
                <c:pt idx="4">
                  <c:v>60.64</c:v>
                </c:pt>
                <c:pt idx="5">
                  <c:v>66.56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B-4062-8F92-83ED6D578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705359"/>
        <c:axId val="1130122991"/>
      </c:barChart>
      <c:catAx>
        <c:axId val="135370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22991"/>
        <c:crosses val="autoZero"/>
        <c:auto val="1"/>
        <c:lblAlgn val="ctr"/>
        <c:lblOffset val="100"/>
        <c:noMultiLvlLbl val="0"/>
      </c:catAx>
      <c:valAx>
        <c:axId val="113012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0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670284</xdr:colOff>
      <xdr:row>1</xdr:row>
      <xdr:rowOff>151712</xdr:rowOff>
    </xdr:from>
    <xdr:to>
      <xdr:col>12</xdr:col>
      <xdr:colOff>442694</xdr:colOff>
      <xdr:row>16</xdr:row>
      <xdr:rowOff>151712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CB0B7-E42F-2E5F-47D8-28A5EBC34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174434</xdr:colOff>
      <xdr:row>20</xdr:row>
      <xdr:rowOff>36723</xdr:rowOff>
    </xdr:from>
    <xdr:to>
      <xdr:col>5</xdr:col>
      <xdr:colOff>284603</xdr:colOff>
      <xdr:row>34</xdr:row>
      <xdr:rowOff>109250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FE22FC-1E16-70AB-8AEF-FC771EE28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679373</xdr:colOff>
      <xdr:row>19</xdr:row>
      <xdr:rowOff>166171</xdr:rowOff>
    </xdr:from>
    <xdr:to>
      <xdr:col>12</xdr:col>
      <xdr:colOff>459035</xdr:colOff>
      <xdr:row>34</xdr:row>
      <xdr:rowOff>155154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AD9710-F478-13DE-0392-9BF283204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sh M" refreshedDate="46241.865693055559" createdVersion="8" refreshedVersion="8" minRefreshableVersion="3" recordCount="25" xr:uid="{9B3FAD74-3EFD-4A15-A151-E3A63F9BEB3B}">
  <cacheSource type="worksheet">
    <worksheetSource name="Table1"/>
  </cacheSource>
  <cacheFields count="13">
    <cacheField name="Student ID" numFmtId="0">
      <sharedItems containsSemiMixedTypes="0" containsString="0" containsNumber="1" containsInteger="1" minValue="101" maxValue="125"/>
    </cacheField>
    <cacheField name="Name" numFmtId="0">
      <sharedItems count="25">
        <s v="Aarav"/>
        <s v="Harish"/>
        <s v="Rahul"/>
        <s v="Priya"/>
        <s v="Kiran"/>
        <s v="Anjali"/>
        <s v="Rohan"/>
        <s v="Sneha"/>
        <s v="Vivek"/>
        <s v="Aishwarya"/>
        <s v="Nikhil"/>
        <s v="Pooja"/>
        <s v="Aditya"/>
        <s v="Kavya"/>
        <s v="Manish"/>
        <s v="Deepika"/>
        <s v="Akash"/>
        <s v="Divya"/>
        <s v="Sandeep"/>
        <s v="Neha"/>
        <s v="Varun"/>
        <s v="Shreya"/>
        <s v="Abhishek"/>
        <s v="Nandini"/>
        <s v="Arjun"/>
      </sharedItems>
    </cacheField>
    <cacheField name="Kan" numFmtId="0">
      <sharedItems containsSemiMixedTypes="0" containsString="0" containsNumber="1" containsInteger="1" minValue="34" maxValue="95"/>
    </cacheField>
    <cacheField name="Eng" numFmtId="0">
      <sharedItems containsSemiMixedTypes="0" containsString="0" containsNumber="1" containsInteger="1" minValue="30" maxValue="91"/>
    </cacheField>
    <cacheField name="Math" numFmtId="0">
      <sharedItems containsSemiMixedTypes="0" containsString="0" containsNumber="1" containsInteger="1" minValue="28" maxValue="93"/>
    </cacheField>
    <cacheField name="Sci" numFmtId="0">
      <sharedItems containsSemiMixedTypes="0" containsString="0" containsNumber="1" containsInteger="1" minValue="25" maxValue="90"/>
    </cacheField>
    <cacheField name="Soc" numFmtId="0">
      <sharedItems containsSemiMixedTypes="0" containsString="0" containsNumber="1" containsInteger="1" minValue="32" maxValue="94"/>
    </cacheField>
    <cacheField name="Hin" numFmtId="0">
      <sharedItems containsSemiMixedTypes="0" containsString="0" containsNumber="1" containsInteger="1" minValue="33" maxValue="95"/>
    </cacheField>
    <cacheField name="Total" numFmtId="0">
      <sharedItems containsSemiMixedTypes="0" containsString="0" containsNumber="1" containsInteger="1" minValue="233" maxValue="530"/>
    </cacheField>
    <cacheField name="Percentage" numFmtId="0">
      <sharedItems containsSemiMixedTypes="0" containsString="0" containsNumber="1" minValue="38.83" maxValue="88.33"/>
    </cacheField>
    <cacheField name="Grade" numFmtId="0">
      <sharedItems count="5">
        <s v="B+"/>
        <s v="C"/>
        <s v="A"/>
        <s v="D"/>
        <s v="B"/>
      </sharedItems>
    </cacheField>
    <cacheField name="Result" numFmtId="0">
      <sharedItems count="2">
        <s v="PASS"/>
        <s v="FAIL"/>
      </sharedItems>
    </cacheField>
    <cacheField name="Rank" numFmtId="0">
      <sharedItems containsSemiMixedTypes="0" containsString="0" containsNumber="1" containsInteg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1"/>
    <x v="0"/>
    <n v="78"/>
    <n v="80"/>
    <n v="75"/>
    <n v="72"/>
    <n v="69"/>
    <n v="54"/>
    <n v="428"/>
    <n v="71.33"/>
    <x v="0"/>
    <x v="0"/>
    <n v="8"/>
  </r>
  <r>
    <n v="102"/>
    <x v="1"/>
    <n v="55"/>
    <n v="60"/>
    <n v="48"/>
    <n v="50"/>
    <n v="52"/>
    <n v="65"/>
    <n v="330"/>
    <n v="55"/>
    <x v="1"/>
    <x v="0"/>
    <n v="14"/>
  </r>
  <r>
    <n v="103"/>
    <x v="2"/>
    <n v="34"/>
    <n v="60"/>
    <n v="55"/>
    <n v="50"/>
    <n v="45"/>
    <n v="92"/>
    <n v="336"/>
    <n v="56"/>
    <x v="1"/>
    <x v="1"/>
    <n v="13"/>
  </r>
  <r>
    <n v="104"/>
    <x v="3"/>
    <n v="90"/>
    <n v="88"/>
    <n v="92"/>
    <n v="85"/>
    <n v="91"/>
    <n v="56"/>
    <n v="502"/>
    <n v="83.67"/>
    <x v="2"/>
    <x v="0"/>
    <n v="3"/>
  </r>
  <r>
    <n v="105"/>
    <x v="4"/>
    <n v="40"/>
    <n v="38"/>
    <n v="36"/>
    <n v="42"/>
    <n v="35"/>
    <n v="42"/>
    <n v="233"/>
    <n v="38.83"/>
    <x v="3"/>
    <x v="0"/>
    <n v="25"/>
  </r>
  <r>
    <n v="106"/>
    <x v="5"/>
    <n v="67"/>
    <n v="72"/>
    <n v="70"/>
    <n v="66"/>
    <n v="65"/>
    <n v="86"/>
    <n v="426"/>
    <n v="71"/>
    <x v="0"/>
    <x v="0"/>
    <n v="9"/>
  </r>
  <r>
    <n v="107"/>
    <x v="6"/>
    <n v="45"/>
    <n v="50"/>
    <n v="28"/>
    <n v="55"/>
    <n v="60"/>
    <n v="56"/>
    <n v="294"/>
    <n v="49"/>
    <x v="3"/>
    <x v="1"/>
    <n v="18"/>
  </r>
  <r>
    <n v="108"/>
    <x v="7"/>
    <n v="75"/>
    <n v="70"/>
    <n v="68"/>
    <n v="72"/>
    <n v="74"/>
    <n v="75"/>
    <n v="434"/>
    <n v="72.33"/>
    <x v="0"/>
    <x v="0"/>
    <n v="7"/>
  </r>
  <r>
    <n v="109"/>
    <x v="8"/>
    <n v="35"/>
    <n v="35"/>
    <n v="35"/>
    <n v="35"/>
    <n v="35"/>
    <n v="95"/>
    <n v="270"/>
    <n v="45"/>
    <x v="3"/>
    <x v="0"/>
    <n v="23"/>
  </r>
  <r>
    <n v="110"/>
    <x v="9"/>
    <n v="82"/>
    <n v="79"/>
    <n v="84"/>
    <n v="80"/>
    <n v="78"/>
    <n v="43"/>
    <n v="446"/>
    <n v="74.33"/>
    <x v="0"/>
    <x v="0"/>
    <n v="6"/>
  </r>
  <r>
    <n v="111"/>
    <x v="10"/>
    <n v="60"/>
    <n v="61"/>
    <n v="62"/>
    <n v="63"/>
    <n v="64"/>
    <n v="88"/>
    <n v="398"/>
    <n v="66.33"/>
    <x v="4"/>
    <x v="0"/>
    <n v="10"/>
  </r>
  <r>
    <n v="112"/>
    <x v="11"/>
    <n v="45"/>
    <n v="33"/>
    <n v="55"/>
    <n v="60"/>
    <n v="50"/>
    <n v="46"/>
    <n v="289"/>
    <n v="48.17"/>
    <x v="3"/>
    <x v="1"/>
    <n v="19"/>
  </r>
  <r>
    <n v="113"/>
    <x v="12"/>
    <n v="48"/>
    <n v="50"/>
    <n v="46"/>
    <n v="44"/>
    <n v="49"/>
    <n v="58"/>
    <n v="295"/>
    <n v="49.17"/>
    <x v="3"/>
    <x v="0"/>
    <n v="17"/>
  </r>
  <r>
    <n v="114"/>
    <x v="13"/>
    <n v="88"/>
    <n v="84"/>
    <n v="86"/>
    <n v="90"/>
    <n v="85"/>
    <n v="76"/>
    <n v="509"/>
    <n v="84.83"/>
    <x v="2"/>
    <x v="0"/>
    <n v="2"/>
  </r>
  <r>
    <n v="115"/>
    <x v="14"/>
    <n v="36"/>
    <n v="39"/>
    <n v="41"/>
    <n v="37"/>
    <n v="40"/>
    <n v="85"/>
    <n v="278"/>
    <n v="46.33"/>
    <x v="3"/>
    <x v="0"/>
    <n v="22"/>
  </r>
  <r>
    <n v="116"/>
    <x v="15"/>
    <n v="70"/>
    <n v="68"/>
    <n v="72"/>
    <n v="74"/>
    <n v="69"/>
    <n v="94"/>
    <n v="447"/>
    <n v="74.5"/>
    <x v="0"/>
    <x v="0"/>
    <n v="5"/>
  </r>
  <r>
    <n v="117"/>
    <x v="16"/>
    <n v="59"/>
    <n v="60"/>
    <n v="55"/>
    <n v="58"/>
    <n v="32"/>
    <n v="65"/>
    <n v="329"/>
    <n v="54.83"/>
    <x v="1"/>
    <x v="1"/>
    <n v="15"/>
  </r>
  <r>
    <n v="118"/>
    <x v="17"/>
    <n v="95"/>
    <n v="91"/>
    <n v="93"/>
    <n v="90"/>
    <n v="94"/>
    <n v="67"/>
    <n v="530"/>
    <n v="88.33"/>
    <x v="2"/>
    <x v="0"/>
    <n v="1"/>
  </r>
  <r>
    <n v="119"/>
    <x v="18"/>
    <n v="45"/>
    <n v="48"/>
    <n v="50"/>
    <n v="46"/>
    <n v="44"/>
    <n v="53"/>
    <n v="286"/>
    <n v="47.67"/>
    <x v="3"/>
    <x v="0"/>
    <n v="20"/>
  </r>
  <r>
    <n v="120"/>
    <x v="19"/>
    <n v="38"/>
    <n v="40"/>
    <n v="42"/>
    <n v="39"/>
    <n v="41"/>
    <n v="80"/>
    <n v="280"/>
    <n v="46.67"/>
    <x v="3"/>
    <x v="0"/>
    <n v="21"/>
  </r>
  <r>
    <n v="121"/>
    <x v="20"/>
    <n v="45"/>
    <n v="30"/>
    <n v="40"/>
    <n v="25"/>
    <n v="50"/>
    <n v="65"/>
    <n v="255"/>
    <n v="42.5"/>
    <x v="3"/>
    <x v="1"/>
    <n v="24"/>
  </r>
  <r>
    <n v="122"/>
    <x v="21"/>
    <n v="65"/>
    <n v="67"/>
    <n v="69"/>
    <n v="70"/>
    <n v="72"/>
    <n v="45"/>
    <n v="388"/>
    <n v="64.67"/>
    <x v="4"/>
    <x v="0"/>
    <n v="11"/>
  </r>
  <r>
    <n v="123"/>
    <x v="22"/>
    <n v="80"/>
    <n v="82"/>
    <n v="84"/>
    <n v="86"/>
    <n v="88"/>
    <n v="76"/>
    <n v="496"/>
    <n v="82.67"/>
    <x v="2"/>
    <x v="0"/>
    <n v="4"/>
  </r>
  <r>
    <n v="124"/>
    <x v="23"/>
    <n v="35"/>
    <n v="45"/>
    <n v="55"/>
    <n v="65"/>
    <n v="75"/>
    <n v="33"/>
    <n v="308"/>
    <n v="51.33"/>
    <x v="1"/>
    <x v="1"/>
    <n v="16"/>
  </r>
  <r>
    <n v="125"/>
    <x v="24"/>
    <n v="58"/>
    <n v="62"/>
    <n v="64"/>
    <n v="60"/>
    <n v="59"/>
    <n v="69"/>
    <n v="372"/>
    <n v="62"/>
    <x v="4"/>
    <x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415E5-F827-4443-81CC-94E44BDD305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Student ID" fld="0" subtotal="count" baseField="1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E9D21-C890-481A-8512-050DF99DF6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4"/>
        <item x="0"/>
        <item x="1"/>
        <item x="3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 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07DC-3508-4A40-A383-73EFE7B03F0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2:E1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6">
        <item x="2"/>
        <item x="4"/>
        <item x="0"/>
        <item x="1"/>
        <item x="3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" fld="8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0D30E-74EE-487B-8B72-E26778B00675}" name="PivotTable5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:B18" firstHeaderRow="1" firstDataRow="1" firstDataCol="1"/>
  <pivotFields count="13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Average of Kan" fld="2" subtotal="average" baseField="0" baseItem="0"/>
    <dataField name="Average of Eng" fld="3" subtotal="average" baseField="0" baseItem="0"/>
    <dataField name="Average of Math" fld="4" subtotal="average" baseField="0" baseItem="0"/>
    <dataField name="Average of Sci" fld="5" subtotal="average" baseField="0" baseItem="0"/>
    <dataField name="Average of Soc" fld="6" subtotal="average" baseField="0" baseItem="0"/>
    <dataField name="Average of Hin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03540-DAA2-466E-AE8A-80DEDA619561}" name="Table1" displayName="Table1" ref="A2:M27" totalsRowShown="0" headerRowDxfId="20" headerRowBorderDxfId="19" tableBorderDxfId="18" totalsRowBorderDxfId="17">
  <autoFilter ref="A2:M27" xr:uid="{25076862-A87D-4282-92AC-C4A5F35E557F}"/>
  <tableColumns count="13">
    <tableColumn id="1" xr3:uid="{35586D88-DF2E-4096-8C34-41B03FAC6F83}" name="Student ID" dataDxfId="16"/>
    <tableColumn id="2" xr3:uid="{8BB20663-1BE2-435F-A82D-F3DAACC915D9}" name="Name" dataDxfId="15"/>
    <tableColumn id="3" xr3:uid="{DD996B6E-52E3-4DFF-BACB-AEF2FDCD4034}" name="Kan" dataDxfId="14"/>
    <tableColumn id="4" xr3:uid="{77D1FF23-E3CA-4DD5-A424-C8C6B1891CC9}" name="Eng" dataDxfId="13"/>
    <tableColumn id="5" xr3:uid="{856C1F07-FB98-4A8C-9808-F4DD035CFFA6}" name="Math" dataDxfId="12"/>
    <tableColumn id="6" xr3:uid="{412689A9-D6C6-467F-923E-F090BC44FC98}" name="Sci" dataDxfId="11"/>
    <tableColumn id="7" xr3:uid="{6214665D-46DE-441A-924E-9323E41DF975}" name="Soc" dataDxfId="10"/>
    <tableColumn id="8" xr3:uid="{16747ABB-232A-4B05-82D2-4FEAEBCB693F}" name="Hin" dataDxfId="9"/>
    <tableColumn id="9" xr3:uid="{705E2239-37CA-4992-8F7B-65FC2A4A58B5}" name="Total" dataDxfId="8"/>
    <tableColumn id="10" xr3:uid="{FD95CA0E-9973-43E4-91F4-8EE9CCBC0F7E}" name="Percentage" dataDxfId="7"/>
    <tableColumn id="11" xr3:uid="{F7DEF0B8-A46C-407D-9CDF-BF0B881AFF06}" name="Grade" dataDxfId="6"/>
    <tableColumn id="12" xr3:uid="{C40D1494-30C5-4A84-869F-3C6501A1BF2E}" name="Result" dataDxfId="5"/>
    <tableColumn id="13" xr3:uid="{55C3F684-A97A-4EA6-9F5A-EA5A2A6D4339}" name="Rank" dataDxfId="4">
      <calculatedColumnFormula>RANK(I3,$I$3:$I$27,0)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6F01-D236-4576-98FF-0A00F7B96780}">
  <dimension ref="A3:E18"/>
  <sheetViews>
    <sheetView zoomScale="83" zoomScaleNormal="100" workbookViewId="0">
      <selection activeCell="R13" sqref="R13"/>
    </sheetView>
  </sheetViews>
  <sheetFormatPr defaultRowHeight="14.4" x14ac:dyDescent="0.3"/>
  <cols>
    <col min="1" max="1" width="12.44140625" bestFit="1" customWidth="1"/>
    <col min="2" max="2" width="16.88671875" bestFit="1" customWidth="1"/>
    <col min="3" max="3" width="11.109375" bestFit="1" customWidth="1"/>
    <col min="4" max="4" width="12.44140625" bestFit="1" customWidth="1"/>
    <col min="5" max="5" width="12.21875" bestFit="1" customWidth="1"/>
    <col min="6" max="6" width="9.88671875" bestFit="1" customWidth="1"/>
    <col min="7" max="7" width="12.44140625" bestFit="1" customWidth="1"/>
    <col min="8" max="8" width="12.21875" bestFit="1" customWidth="1"/>
  </cols>
  <sheetData>
    <row r="3" spans="1:5" x14ac:dyDescent="0.3">
      <c r="A3" s="11" t="s">
        <v>46</v>
      </c>
      <c r="B3" t="s">
        <v>48</v>
      </c>
      <c r="D3" s="11" t="s">
        <v>46</v>
      </c>
      <c r="E3" t="s">
        <v>48</v>
      </c>
    </row>
    <row r="4" spans="1:5" x14ac:dyDescent="0.3">
      <c r="A4" s="12" t="s">
        <v>20</v>
      </c>
      <c r="B4">
        <v>4</v>
      </c>
      <c r="D4" s="12" t="s">
        <v>18</v>
      </c>
      <c r="E4">
        <v>6</v>
      </c>
    </row>
    <row r="5" spans="1:5" x14ac:dyDescent="0.3">
      <c r="A5" s="12" t="s">
        <v>29</v>
      </c>
      <c r="B5">
        <v>3</v>
      </c>
      <c r="D5" s="12" t="s">
        <v>14</v>
      </c>
      <c r="E5">
        <v>19</v>
      </c>
    </row>
    <row r="6" spans="1:5" x14ac:dyDescent="0.3">
      <c r="A6" s="12" t="s">
        <v>13</v>
      </c>
      <c r="B6">
        <v>5</v>
      </c>
      <c r="D6" s="12" t="s">
        <v>47</v>
      </c>
      <c r="E6">
        <v>25</v>
      </c>
    </row>
    <row r="7" spans="1:5" x14ac:dyDescent="0.3">
      <c r="A7" s="12" t="s">
        <v>16</v>
      </c>
      <c r="B7">
        <v>4</v>
      </c>
    </row>
    <row r="8" spans="1:5" x14ac:dyDescent="0.3">
      <c r="A8" s="12" t="s">
        <v>22</v>
      </c>
      <c r="B8">
        <v>9</v>
      </c>
    </row>
    <row r="9" spans="1:5" x14ac:dyDescent="0.3">
      <c r="A9" s="12" t="s">
        <v>47</v>
      </c>
      <c r="B9">
        <v>25</v>
      </c>
    </row>
    <row r="12" spans="1:5" x14ac:dyDescent="0.3">
      <c r="A12" s="11" t="s">
        <v>49</v>
      </c>
      <c r="D12" s="11" t="s">
        <v>46</v>
      </c>
      <c r="E12" t="s">
        <v>56</v>
      </c>
    </row>
    <row r="13" spans="1:5" x14ac:dyDescent="0.3">
      <c r="A13" s="12" t="s">
        <v>50</v>
      </c>
      <c r="B13">
        <v>58.72</v>
      </c>
      <c r="D13" s="12" t="s">
        <v>20</v>
      </c>
      <c r="E13">
        <v>4</v>
      </c>
    </row>
    <row r="14" spans="1:5" x14ac:dyDescent="0.3">
      <c r="A14" s="12" t="s">
        <v>51</v>
      </c>
      <c r="B14">
        <v>59.68</v>
      </c>
      <c r="D14" s="12" t="s">
        <v>29</v>
      </c>
      <c r="E14">
        <v>3</v>
      </c>
    </row>
    <row r="15" spans="1:5" x14ac:dyDescent="0.3">
      <c r="A15" s="12" t="s">
        <v>52</v>
      </c>
      <c r="B15">
        <v>60.2</v>
      </c>
      <c r="D15" s="12" t="s">
        <v>13</v>
      </c>
      <c r="E15">
        <v>5</v>
      </c>
    </row>
    <row r="16" spans="1:5" x14ac:dyDescent="0.3">
      <c r="A16" s="12" t="s">
        <v>53</v>
      </c>
      <c r="B16">
        <v>60.56</v>
      </c>
      <c r="D16" s="12" t="s">
        <v>16</v>
      </c>
      <c r="E16">
        <v>4</v>
      </c>
    </row>
    <row r="17" spans="1:5" x14ac:dyDescent="0.3">
      <c r="A17" s="12" t="s">
        <v>54</v>
      </c>
      <c r="B17">
        <v>60.64</v>
      </c>
      <c r="D17" s="12" t="s">
        <v>22</v>
      </c>
      <c r="E17">
        <v>9</v>
      </c>
    </row>
    <row r="18" spans="1:5" x14ac:dyDescent="0.3">
      <c r="A18" s="12" t="s">
        <v>55</v>
      </c>
      <c r="B18">
        <v>66.56</v>
      </c>
      <c r="D18" s="12" t="s">
        <v>47</v>
      </c>
      <c r="E18">
        <v>25</v>
      </c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6862-A87D-4282-92AC-C4A5F35E557F}">
  <dimension ref="A1:P27"/>
  <sheetViews>
    <sheetView tabSelected="1" zoomScale="110" zoomScaleNormal="110" workbookViewId="0">
      <selection activeCell="T9" sqref="T9"/>
    </sheetView>
  </sheetViews>
  <sheetFormatPr defaultRowHeight="14.4" x14ac:dyDescent="0.3"/>
  <cols>
    <col min="1" max="1" width="12.77734375" customWidth="1"/>
    <col min="2" max="2" width="9.88671875" customWidth="1"/>
    <col min="10" max="10" width="12.109375" customWidth="1"/>
  </cols>
  <sheetData>
    <row r="1" spans="1:16" ht="15.6" x14ac:dyDescent="0.3">
      <c r="A1" s="13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6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44</v>
      </c>
    </row>
    <row r="3" spans="1:16" x14ac:dyDescent="0.3">
      <c r="A3" s="5">
        <v>101</v>
      </c>
      <c r="B3" s="6" t="s">
        <v>12</v>
      </c>
      <c r="C3" s="6">
        <v>78</v>
      </c>
      <c r="D3" s="6">
        <v>80</v>
      </c>
      <c r="E3" s="6">
        <v>75</v>
      </c>
      <c r="F3" s="6">
        <v>72</v>
      </c>
      <c r="G3" s="6">
        <v>69</v>
      </c>
      <c r="H3" s="6">
        <v>54</v>
      </c>
      <c r="I3" s="6">
        <v>428</v>
      </c>
      <c r="J3" s="6">
        <v>71.33</v>
      </c>
      <c r="K3" s="6" t="s">
        <v>13</v>
      </c>
      <c r="L3" s="6" t="s">
        <v>14</v>
      </c>
      <c r="M3" s="7">
        <f t="shared" ref="M3:M27" si="0">RANK(I3,$I$3:$I$27,0)</f>
        <v>8</v>
      </c>
    </row>
    <row r="4" spans="1:16" x14ac:dyDescent="0.3">
      <c r="A4" s="5">
        <v>102</v>
      </c>
      <c r="B4" s="6" t="s">
        <v>15</v>
      </c>
      <c r="C4" s="6">
        <v>55</v>
      </c>
      <c r="D4" s="6">
        <v>60</v>
      </c>
      <c r="E4" s="6">
        <v>48</v>
      </c>
      <c r="F4" s="6">
        <v>50</v>
      </c>
      <c r="G4" s="6">
        <v>52</v>
      </c>
      <c r="H4" s="6">
        <v>65</v>
      </c>
      <c r="I4" s="6">
        <v>330</v>
      </c>
      <c r="J4" s="6">
        <v>55</v>
      </c>
      <c r="K4" s="6" t="s">
        <v>16</v>
      </c>
      <c r="L4" s="6" t="s">
        <v>14</v>
      </c>
      <c r="M4" s="7">
        <f t="shared" si="0"/>
        <v>14</v>
      </c>
    </row>
    <row r="5" spans="1:16" x14ac:dyDescent="0.3">
      <c r="A5" s="5">
        <v>103</v>
      </c>
      <c r="B5" s="6" t="s">
        <v>17</v>
      </c>
      <c r="C5" s="6">
        <v>34</v>
      </c>
      <c r="D5" s="6">
        <v>60</v>
      </c>
      <c r="E5" s="6">
        <v>55</v>
      </c>
      <c r="F5" s="6">
        <v>50</v>
      </c>
      <c r="G5" s="6">
        <v>45</v>
      </c>
      <c r="H5" s="6">
        <v>92</v>
      </c>
      <c r="I5" s="6">
        <v>336</v>
      </c>
      <c r="J5" s="6">
        <v>56</v>
      </c>
      <c r="K5" s="6" t="s">
        <v>16</v>
      </c>
      <c r="L5" s="6" t="s">
        <v>18</v>
      </c>
      <c r="M5" s="7">
        <f t="shared" si="0"/>
        <v>13</v>
      </c>
    </row>
    <row r="6" spans="1:16" x14ac:dyDescent="0.3">
      <c r="A6" s="5">
        <v>104</v>
      </c>
      <c r="B6" s="6" t="s">
        <v>19</v>
      </c>
      <c r="C6" s="6">
        <v>90</v>
      </c>
      <c r="D6" s="6">
        <v>88</v>
      </c>
      <c r="E6" s="6">
        <v>92</v>
      </c>
      <c r="F6" s="6">
        <v>85</v>
      </c>
      <c r="G6" s="6">
        <v>91</v>
      </c>
      <c r="H6" s="6">
        <v>56</v>
      </c>
      <c r="I6" s="6">
        <v>502</v>
      </c>
      <c r="J6" s="6">
        <v>83.67</v>
      </c>
      <c r="K6" s="6" t="s">
        <v>20</v>
      </c>
      <c r="L6" s="6" t="s">
        <v>14</v>
      </c>
      <c r="M6" s="7">
        <f t="shared" si="0"/>
        <v>3</v>
      </c>
    </row>
    <row r="7" spans="1:16" x14ac:dyDescent="0.3">
      <c r="A7" s="5">
        <v>105</v>
      </c>
      <c r="B7" s="6" t="s">
        <v>21</v>
      </c>
      <c r="C7" s="6">
        <v>40</v>
      </c>
      <c r="D7" s="6">
        <v>38</v>
      </c>
      <c r="E7" s="6">
        <v>36</v>
      </c>
      <c r="F7" s="6">
        <v>42</v>
      </c>
      <c r="G7" s="6">
        <v>35</v>
      </c>
      <c r="H7" s="6">
        <v>42</v>
      </c>
      <c r="I7" s="6">
        <v>233</v>
      </c>
      <c r="J7" s="6">
        <v>38.83</v>
      </c>
      <c r="K7" s="6" t="s">
        <v>22</v>
      </c>
      <c r="L7" s="6" t="s">
        <v>14</v>
      </c>
      <c r="M7" s="7">
        <f t="shared" si="0"/>
        <v>25</v>
      </c>
    </row>
    <row r="8" spans="1:16" x14ac:dyDescent="0.3">
      <c r="A8" s="5">
        <v>106</v>
      </c>
      <c r="B8" s="6" t="s">
        <v>23</v>
      </c>
      <c r="C8" s="6">
        <v>67</v>
      </c>
      <c r="D8" s="6">
        <v>72</v>
      </c>
      <c r="E8" s="6">
        <v>70</v>
      </c>
      <c r="F8" s="6">
        <v>66</v>
      </c>
      <c r="G8" s="6">
        <v>65</v>
      </c>
      <c r="H8" s="6">
        <v>86</v>
      </c>
      <c r="I8" s="6">
        <v>426</v>
      </c>
      <c r="J8" s="6">
        <v>71</v>
      </c>
      <c r="K8" s="6" t="s">
        <v>13</v>
      </c>
      <c r="L8" s="6" t="s">
        <v>14</v>
      </c>
      <c r="M8" s="7">
        <f t="shared" si="0"/>
        <v>9</v>
      </c>
    </row>
    <row r="9" spans="1:16" x14ac:dyDescent="0.3">
      <c r="A9" s="5">
        <v>107</v>
      </c>
      <c r="B9" s="6" t="s">
        <v>24</v>
      </c>
      <c r="C9" s="6">
        <v>45</v>
      </c>
      <c r="D9" s="6">
        <v>50</v>
      </c>
      <c r="E9" s="6">
        <v>28</v>
      </c>
      <c r="F9" s="6">
        <v>55</v>
      </c>
      <c r="G9" s="6">
        <v>60</v>
      </c>
      <c r="H9" s="6">
        <v>56</v>
      </c>
      <c r="I9" s="6">
        <v>294</v>
      </c>
      <c r="J9" s="6">
        <v>49</v>
      </c>
      <c r="K9" s="6" t="s">
        <v>22</v>
      </c>
      <c r="L9" s="6" t="s">
        <v>18</v>
      </c>
      <c r="M9" s="7">
        <f t="shared" si="0"/>
        <v>18</v>
      </c>
    </row>
    <row r="10" spans="1:16" x14ac:dyDescent="0.3">
      <c r="A10" s="5">
        <v>108</v>
      </c>
      <c r="B10" s="6" t="s">
        <v>25</v>
      </c>
      <c r="C10" s="6">
        <v>75</v>
      </c>
      <c r="D10" s="6">
        <v>70</v>
      </c>
      <c r="E10" s="6">
        <v>68</v>
      </c>
      <c r="F10" s="6">
        <v>72</v>
      </c>
      <c r="G10" s="6">
        <v>74</v>
      </c>
      <c r="H10" s="6">
        <v>75</v>
      </c>
      <c r="I10" s="6">
        <v>434</v>
      </c>
      <c r="J10" s="6">
        <v>72.33</v>
      </c>
      <c r="K10" s="6" t="s">
        <v>13</v>
      </c>
      <c r="L10" s="6" t="s">
        <v>14</v>
      </c>
      <c r="M10" s="7">
        <f t="shared" si="0"/>
        <v>7</v>
      </c>
      <c r="P10" s="1"/>
    </row>
    <row r="11" spans="1:16" x14ac:dyDescent="0.3">
      <c r="A11" s="5">
        <v>109</v>
      </c>
      <c r="B11" s="6" t="s">
        <v>26</v>
      </c>
      <c r="C11" s="6">
        <v>35</v>
      </c>
      <c r="D11" s="6">
        <v>35</v>
      </c>
      <c r="E11" s="6">
        <v>35</v>
      </c>
      <c r="F11" s="6">
        <v>35</v>
      </c>
      <c r="G11" s="6">
        <v>35</v>
      </c>
      <c r="H11" s="6">
        <v>95</v>
      </c>
      <c r="I11" s="6">
        <v>270</v>
      </c>
      <c r="J11" s="6">
        <v>45</v>
      </c>
      <c r="K11" s="6" t="s">
        <v>22</v>
      </c>
      <c r="L11" s="6" t="s">
        <v>14</v>
      </c>
      <c r="M11" s="7">
        <f t="shared" si="0"/>
        <v>23</v>
      </c>
    </row>
    <row r="12" spans="1:16" x14ac:dyDescent="0.3">
      <c r="A12" s="5">
        <v>110</v>
      </c>
      <c r="B12" s="6" t="s">
        <v>27</v>
      </c>
      <c r="C12" s="6">
        <v>82</v>
      </c>
      <c r="D12" s="6">
        <v>79</v>
      </c>
      <c r="E12" s="6">
        <v>84</v>
      </c>
      <c r="F12" s="6">
        <v>80</v>
      </c>
      <c r="G12" s="6">
        <v>78</v>
      </c>
      <c r="H12" s="6">
        <v>43</v>
      </c>
      <c r="I12" s="6">
        <v>446</v>
      </c>
      <c r="J12" s="6">
        <v>74.33</v>
      </c>
      <c r="K12" s="6" t="s">
        <v>13</v>
      </c>
      <c r="L12" s="6" t="s">
        <v>14</v>
      </c>
      <c r="M12" s="7">
        <f t="shared" si="0"/>
        <v>6</v>
      </c>
    </row>
    <row r="13" spans="1:16" x14ac:dyDescent="0.3">
      <c r="A13" s="5">
        <v>111</v>
      </c>
      <c r="B13" s="6" t="s">
        <v>28</v>
      </c>
      <c r="C13" s="6">
        <v>60</v>
      </c>
      <c r="D13" s="6">
        <v>61</v>
      </c>
      <c r="E13" s="6">
        <v>62</v>
      </c>
      <c r="F13" s="6">
        <v>63</v>
      </c>
      <c r="G13" s="6">
        <v>64</v>
      </c>
      <c r="H13" s="6">
        <v>88</v>
      </c>
      <c r="I13" s="6">
        <v>398</v>
      </c>
      <c r="J13" s="6">
        <v>66.33</v>
      </c>
      <c r="K13" s="6" t="s">
        <v>29</v>
      </c>
      <c r="L13" s="6" t="s">
        <v>14</v>
      </c>
      <c r="M13" s="7">
        <f t="shared" si="0"/>
        <v>10</v>
      </c>
    </row>
    <row r="14" spans="1:16" x14ac:dyDescent="0.3">
      <c r="A14" s="5">
        <v>112</v>
      </c>
      <c r="B14" s="6" t="s">
        <v>30</v>
      </c>
      <c r="C14" s="6">
        <v>45</v>
      </c>
      <c r="D14" s="6">
        <v>33</v>
      </c>
      <c r="E14" s="6">
        <v>55</v>
      </c>
      <c r="F14" s="6">
        <v>60</v>
      </c>
      <c r="G14" s="6">
        <v>50</v>
      </c>
      <c r="H14" s="6">
        <v>46</v>
      </c>
      <c r="I14" s="6">
        <v>289</v>
      </c>
      <c r="J14" s="6">
        <v>48.17</v>
      </c>
      <c r="K14" s="6" t="s">
        <v>22</v>
      </c>
      <c r="L14" s="6" t="s">
        <v>18</v>
      </c>
      <c r="M14" s="7">
        <f t="shared" si="0"/>
        <v>19</v>
      </c>
    </row>
    <row r="15" spans="1:16" x14ac:dyDescent="0.3">
      <c r="A15" s="5">
        <v>113</v>
      </c>
      <c r="B15" s="6" t="s">
        <v>31</v>
      </c>
      <c r="C15" s="6">
        <v>48</v>
      </c>
      <c r="D15" s="6">
        <v>50</v>
      </c>
      <c r="E15" s="6">
        <v>46</v>
      </c>
      <c r="F15" s="6">
        <v>44</v>
      </c>
      <c r="G15" s="6">
        <v>49</v>
      </c>
      <c r="H15" s="6">
        <v>58</v>
      </c>
      <c r="I15" s="6">
        <v>295</v>
      </c>
      <c r="J15" s="6">
        <v>49.17</v>
      </c>
      <c r="K15" s="6" t="s">
        <v>22</v>
      </c>
      <c r="L15" s="6" t="s">
        <v>14</v>
      </c>
      <c r="M15" s="7">
        <f t="shared" si="0"/>
        <v>17</v>
      </c>
    </row>
    <row r="16" spans="1:16" x14ac:dyDescent="0.3">
      <c r="A16" s="5">
        <v>114</v>
      </c>
      <c r="B16" s="6" t="s">
        <v>32</v>
      </c>
      <c r="C16" s="6">
        <v>88</v>
      </c>
      <c r="D16" s="6">
        <v>84</v>
      </c>
      <c r="E16" s="6">
        <v>86</v>
      </c>
      <c r="F16" s="6">
        <v>90</v>
      </c>
      <c r="G16" s="6">
        <v>85</v>
      </c>
      <c r="H16" s="6">
        <v>76</v>
      </c>
      <c r="I16" s="6">
        <v>509</v>
      </c>
      <c r="J16" s="6">
        <v>84.83</v>
      </c>
      <c r="K16" s="6" t="s">
        <v>20</v>
      </c>
      <c r="L16" s="6" t="s">
        <v>14</v>
      </c>
      <c r="M16" s="7">
        <f t="shared" si="0"/>
        <v>2</v>
      </c>
    </row>
    <row r="17" spans="1:13" x14ac:dyDescent="0.3">
      <c r="A17" s="5">
        <v>115</v>
      </c>
      <c r="B17" s="6" t="s">
        <v>33</v>
      </c>
      <c r="C17" s="6">
        <v>36</v>
      </c>
      <c r="D17" s="6">
        <v>39</v>
      </c>
      <c r="E17" s="6">
        <v>41</v>
      </c>
      <c r="F17" s="6">
        <v>37</v>
      </c>
      <c r="G17" s="6">
        <v>40</v>
      </c>
      <c r="H17" s="6">
        <v>85</v>
      </c>
      <c r="I17" s="6">
        <v>278</v>
      </c>
      <c r="J17" s="6">
        <v>46.33</v>
      </c>
      <c r="K17" s="6" t="s">
        <v>22</v>
      </c>
      <c r="L17" s="6" t="s">
        <v>14</v>
      </c>
      <c r="M17" s="7">
        <f t="shared" si="0"/>
        <v>22</v>
      </c>
    </row>
    <row r="18" spans="1:13" x14ac:dyDescent="0.3">
      <c r="A18" s="5">
        <v>116</v>
      </c>
      <c r="B18" s="6" t="s">
        <v>34</v>
      </c>
      <c r="C18" s="6">
        <v>70</v>
      </c>
      <c r="D18" s="6">
        <v>68</v>
      </c>
      <c r="E18" s="6">
        <v>72</v>
      </c>
      <c r="F18" s="6">
        <v>74</v>
      </c>
      <c r="G18" s="6">
        <v>69</v>
      </c>
      <c r="H18" s="6">
        <v>94</v>
      </c>
      <c r="I18" s="6">
        <v>447</v>
      </c>
      <c r="J18" s="6">
        <v>74.5</v>
      </c>
      <c r="K18" s="6" t="s">
        <v>13</v>
      </c>
      <c r="L18" s="6" t="s">
        <v>14</v>
      </c>
      <c r="M18" s="7">
        <f t="shared" si="0"/>
        <v>5</v>
      </c>
    </row>
    <row r="19" spans="1:13" x14ac:dyDescent="0.3">
      <c r="A19" s="5">
        <v>117</v>
      </c>
      <c r="B19" s="6" t="s">
        <v>35</v>
      </c>
      <c r="C19" s="6">
        <v>59</v>
      </c>
      <c r="D19" s="6">
        <v>60</v>
      </c>
      <c r="E19" s="6">
        <v>55</v>
      </c>
      <c r="F19" s="6">
        <v>58</v>
      </c>
      <c r="G19" s="6">
        <v>32</v>
      </c>
      <c r="H19" s="6">
        <v>65</v>
      </c>
      <c r="I19" s="6">
        <v>329</v>
      </c>
      <c r="J19" s="6">
        <v>54.83</v>
      </c>
      <c r="K19" s="6" t="s">
        <v>16</v>
      </c>
      <c r="L19" s="6" t="s">
        <v>18</v>
      </c>
      <c r="M19" s="7">
        <f t="shared" si="0"/>
        <v>15</v>
      </c>
    </row>
    <row r="20" spans="1:13" x14ac:dyDescent="0.3">
      <c r="A20" s="5">
        <v>118</v>
      </c>
      <c r="B20" s="6" t="s">
        <v>36</v>
      </c>
      <c r="C20" s="6">
        <v>95</v>
      </c>
      <c r="D20" s="6">
        <v>91</v>
      </c>
      <c r="E20" s="6">
        <v>93</v>
      </c>
      <c r="F20" s="6">
        <v>90</v>
      </c>
      <c r="G20" s="6">
        <v>94</v>
      </c>
      <c r="H20" s="6">
        <v>67</v>
      </c>
      <c r="I20" s="6">
        <v>530</v>
      </c>
      <c r="J20" s="6">
        <v>88.33</v>
      </c>
      <c r="K20" s="6" t="s">
        <v>20</v>
      </c>
      <c r="L20" s="6" t="s">
        <v>14</v>
      </c>
      <c r="M20" s="7">
        <f t="shared" si="0"/>
        <v>1</v>
      </c>
    </row>
    <row r="21" spans="1:13" x14ac:dyDescent="0.3">
      <c r="A21" s="5">
        <v>119</v>
      </c>
      <c r="B21" s="6" t="s">
        <v>37</v>
      </c>
      <c r="C21" s="6">
        <v>45</v>
      </c>
      <c r="D21" s="6">
        <v>48</v>
      </c>
      <c r="E21" s="6">
        <v>50</v>
      </c>
      <c r="F21" s="6">
        <v>46</v>
      </c>
      <c r="G21" s="6">
        <v>44</v>
      </c>
      <c r="H21" s="6">
        <v>53</v>
      </c>
      <c r="I21" s="6">
        <v>286</v>
      </c>
      <c r="J21" s="6">
        <v>47.67</v>
      </c>
      <c r="K21" s="6" t="s">
        <v>22</v>
      </c>
      <c r="L21" s="6" t="s">
        <v>14</v>
      </c>
      <c r="M21" s="7">
        <f t="shared" si="0"/>
        <v>20</v>
      </c>
    </row>
    <row r="22" spans="1:13" x14ac:dyDescent="0.3">
      <c r="A22" s="5">
        <v>120</v>
      </c>
      <c r="B22" s="6" t="s">
        <v>38</v>
      </c>
      <c r="C22" s="6">
        <v>38</v>
      </c>
      <c r="D22" s="6">
        <v>40</v>
      </c>
      <c r="E22" s="6">
        <v>42</v>
      </c>
      <c r="F22" s="6">
        <v>39</v>
      </c>
      <c r="G22" s="6">
        <v>41</v>
      </c>
      <c r="H22" s="6">
        <v>80</v>
      </c>
      <c r="I22" s="6">
        <v>280</v>
      </c>
      <c r="J22" s="6">
        <v>46.67</v>
      </c>
      <c r="K22" s="6" t="s">
        <v>22</v>
      </c>
      <c r="L22" s="6" t="s">
        <v>14</v>
      </c>
      <c r="M22" s="7">
        <f t="shared" si="0"/>
        <v>21</v>
      </c>
    </row>
    <row r="23" spans="1:13" x14ac:dyDescent="0.3">
      <c r="A23" s="5">
        <v>121</v>
      </c>
      <c r="B23" s="6" t="s">
        <v>39</v>
      </c>
      <c r="C23" s="6">
        <v>45</v>
      </c>
      <c r="D23" s="6">
        <v>30</v>
      </c>
      <c r="E23" s="6">
        <v>40</v>
      </c>
      <c r="F23" s="6">
        <v>25</v>
      </c>
      <c r="G23" s="6">
        <v>50</v>
      </c>
      <c r="H23" s="6">
        <v>65</v>
      </c>
      <c r="I23" s="6">
        <v>255</v>
      </c>
      <c r="J23" s="6">
        <v>42.5</v>
      </c>
      <c r="K23" s="6" t="s">
        <v>22</v>
      </c>
      <c r="L23" s="6" t="s">
        <v>18</v>
      </c>
      <c r="M23" s="7">
        <f t="shared" si="0"/>
        <v>24</v>
      </c>
    </row>
    <row r="24" spans="1:13" x14ac:dyDescent="0.3">
      <c r="A24" s="5">
        <v>122</v>
      </c>
      <c r="B24" s="6" t="s">
        <v>40</v>
      </c>
      <c r="C24" s="6">
        <v>65</v>
      </c>
      <c r="D24" s="6">
        <v>67</v>
      </c>
      <c r="E24" s="6">
        <v>69</v>
      </c>
      <c r="F24" s="6">
        <v>70</v>
      </c>
      <c r="G24" s="6">
        <v>72</v>
      </c>
      <c r="H24" s="6">
        <v>45</v>
      </c>
      <c r="I24" s="6">
        <v>388</v>
      </c>
      <c r="J24" s="6">
        <v>64.67</v>
      </c>
      <c r="K24" s="6" t="s">
        <v>29</v>
      </c>
      <c r="L24" s="6" t="s">
        <v>14</v>
      </c>
      <c r="M24" s="7">
        <f t="shared" si="0"/>
        <v>11</v>
      </c>
    </row>
    <row r="25" spans="1:13" x14ac:dyDescent="0.3">
      <c r="A25" s="5">
        <v>123</v>
      </c>
      <c r="B25" s="6" t="s">
        <v>41</v>
      </c>
      <c r="C25" s="6">
        <v>80</v>
      </c>
      <c r="D25" s="6">
        <v>82</v>
      </c>
      <c r="E25" s="6">
        <v>84</v>
      </c>
      <c r="F25" s="6">
        <v>86</v>
      </c>
      <c r="G25" s="6">
        <v>88</v>
      </c>
      <c r="H25" s="6">
        <v>76</v>
      </c>
      <c r="I25" s="6">
        <v>496</v>
      </c>
      <c r="J25" s="6">
        <v>82.67</v>
      </c>
      <c r="K25" s="6" t="s">
        <v>20</v>
      </c>
      <c r="L25" s="6" t="s">
        <v>14</v>
      </c>
      <c r="M25" s="7">
        <f t="shared" si="0"/>
        <v>4</v>
      </c>
    </row>
    <row r="26" spans="1:13" x14ac:dyDescent="0.3">
      <c r="A26" s="5">
        <v>124</v>
      </c>
      <c r="B26" s="6" t="s">
        <v>42</v>
      </c>
      <c r="C26" s="6">
        <v>35</v>
      </c>
      <c r="D26" s="6">
        <v>45</v>
      </c>
      <c r="E26" s="6">
        <v>55</v>
      </c>
      <c r="F26" s="6">
        <v>65</v>
      </c>
      <c r="G26" s="6">
        <v>75</v>
      </c>
      <c r="H26" s="6">
        <v>33</v>
      </c>
      <c r="I26" s="6">
        <v>308</v>
      </c>
      <c r="J26" s="6">
        <v>51.33</v>
      </c>
      <c r="K26" s="6" t="s">
        <v>16</v>
      </c>
      <c r="L26" s="6" t="s">
        <v>18</v>
      </c>
      <c r="M26" s="7">
        <f t="shared" si="0"/>
        <v>16</v>
      </c>
    </row>
    <row r="27" spans="1:13" x14ac:dyDescent="0.3">
      <c r="A27" s="8">
        <v>125</v>
      </c>
      <c r="B27" s="9" t="s">
        <v>43</v>
      </c>
      <c r="C27" s="9">
        <v>58</v>
      </c>
      <c r="D27" s="9">
        <v>62</v>
      </c>
      <c r="E27" s="9">
        <v>64</v>
      </c>
      <c r="F27" s="9">
        <v>60</v>
      </c>
      <c r="G27" s="9">
        <v>59</v>
      </c>
      <c r="H27" s="9">
        <v>69</v>
      </c>
      <c r="I27" s="9">
        <v>372</v>
      </c>
      <c r="J27" s="9">
        <v>62</v>
      </c>
      <c r="K27" s="9" t="s">
        <v>29</v>
      </c>
      <c r="L27" s="9" t="s">
        <v>14</v>
      </c>
      <c r="M27" s="10">
        <f t="shared" si="0"/>
        <v>12</v>
      </c>
    </row>
  </sheetData>
  <mergeCells count="1">
    <mergeCell ref="A1:M1"/>
  </mergeCells>
  <conditionalFormatting sqref="A3:L27">
    <cfRule type="expression" dxfId="3" priority="1">
      <formula>$L3="FAIL"</formula>
    </cfRule>
    <cfRule type="expression" dxfId="2" priority="5">
      <formula>$L3="PASS"</formula>
    </cfRule>
  </conditionalFormatting>
  <conditionalFormatting sqref="L3:L27">
    <cfRule type="containsText" dxfId="1" priority="6" operator="containsText" text="FAIL">
      <formula>NOT(ISERROR(SEARCH("FAIL",L3)))</formula>
    </cfRule>
    <cfRule type="containsText" dxfId="0" priority="7" operator="containsText" text="PASS">
      <formula>NOT(ISERROR(SEARCH("PASS",L3)))</formula>
    </cfRule>
  </conditionalFormatting>
  <dataValidations count="2">
    <dataValidation type="whole" allowBlank="1" showInputMessage="1" showErrorMessage="1" sqref="C3:H27" xr:uid="{BD4B5F61-8E3B-4667-B5B4-F7467B81F1BD}">
      <formula1>0</formula1>
      <formula2>100</formula2>
    </dataValidation>
    <dataValidation allowBlank="1" showInputMessage="1" showErrorMessage="1" errorTitle="invalid marks" error="please enter marks between 0 and 100 only" sqref="O24" xr:uid="{2389B383-C87F-4073-913C-8919B66A9C85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M</dc:creator>
  <cp:lastModifiedBy>Harish M</cp:lastModifiedBy>
  <dcterms:created xsi:type="dcterms:W3CDTF">2026-08-07T14:01:42Z</dcterms:created>
  <dcterms:modified xsi:type="dcterms:W3CDTF">2026-08-11T14:09:56Z</dcterms:modified>
</cp:coreProperties>
</file>